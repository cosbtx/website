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/>
  <bookViews>
    <workbookView xWindow="0" yWindow="45" windowWidth="15960" windowHeight="11760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B57" i="1" l="1"/>
  <c r="B49" i="1"/>
  <c r="B34" i="1"/>
  <c r="B40" i="1"/>
  <c r="B9" i="1"/>
  <c r="B15" i="1" s="1"/>
  <c r="C15" i="1"/>
  <c r="B60" i="1" l="1"/>
  <c r="B63" i="1" s="1"/>
  <c r="C56" i="1"/>
  <c r="C55" i="1"/>
  <c r="C54" i="1"/>
  <c r="C53" i="1"/>
  <c r="C57" i="1" s="1"/>
  <c r="C49" i="1"/>
  <c r="C40" i="1"/>
  <c r="C34" i="1"/>
  <c r="C13" i="1"/>
  <c r="C12" i="1"/>
  <c r="C11" i="1"/>
  <c r="C14" i="1" s="1"/>
  <c r="C9" i="1"/>
  <c r="C60" i="1" l="1"/>
  <c r="C63" i="1" s="1"/>
</calcChain>
</file>

<file path=xl/sharedStrings.xml><?xml version="1.0" encoding="utf-8"?>
<sst xmlns="http://schemas.openxmlformats.org/spreadsheetml/2006/main" count="46" uniqueCount="43">
  <si>
    <t>2016 Actual</t>
  </si>
  <si>
    <t>2017 Budget</t>
  </si>
  <si>
    <t>Revenue</t>
  </si>
  <si>
    <t>General Revenue</t>
  </si>
  <si>
    <t>Ad Valorem Taxes</t>
  </si>
  <si>
    <t>Franchise Fees</t>
  </si>
  <si>
    <t>Miscellaneous</t>
  </si>
  <si>
    <t>Interest Income</t>
  </si>
  <si>
    <t>Total General Revenue</t>
  </si>
  <si>
    <t>Program Revenue</t>
  </si>
  <si>
    <t>Service Charges</t>
  </si>
  <si>
    <t>Grants</t>
  </si>
  <si>
    <t>Contributions</t>
  </si>
  <si>
    <t>Total Program Revenue</t>
  </si>
  <si>
    <t>Total Revenue</t>
  </si>
  <si>
    <t>General and Administrative</t>
  </si>
  <si>
    <t>Insurance</t>
  </si>
  <si>
    <t>Bonds</t>
  </si>
  <si>
    <t>Office Supplies</t>
  </si>
  <si>
    <t>Telephone</t>
  </si>
  <si>
    <t>Broadband and Website</t>
  </si>
  <si>
    <t>Utilities</t>
  </si>
  <si>
    <t>Post Office Box</t>
  </si>
  <si>
    <t>Memberships</t>
  </si>
  <si>
    <t>Municipal Office Part Time Contract</t>
  </si>
  <si>
    <t>Furniture and Fixtures</t>
  </si>
  <si>
    <t>Professional Fees</t>
  </si>
  <si>
    <t>Reimbursements</t>
  </si>
  <si>
    <t>Total General and Administrative</t>
  </si>
  <si>
    <t>Planning and Zoning</t>
  </si>
  <si>
    <t>Contract Labor and Expenses</t>
  </si>
  <si>
    <t>Total Planning and Zoning</t>
  </si>
  <si>
    <t>Public Works</t>
  </si>
  <si>
    <t>Road Maintenance</t>
  </si>
  <si>
    <t>Road Maintenance Emergencies</t>
  </si>
  <si>
    <t>Signage</t>
  </si>
  <si>
    <t>Total Public Works</t>
  </si>
  <si>
    <t>Public Safety</t>
  </si>
  <si>
    <t>Total Public Safety</t>
  </si>
  <si>
    <t>Total Expenses</t>
  </si>
  <si>
    <t>Spring Branch Annual Budget</t>
  </si>
  <si>
    <t>Net Income/(Loss)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</si>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</sst>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0"/>
      <color indexed="8"/>
      <name val="Helvetica"/>
    </font>
    <font>
      <sz val="12"/>
      <color indexed="8"/>
      <name val="Helvetica"/>
      <family val="2"/>
    </font>
    <font>
      <b/>
      <sz val="10"/>
      <color indexed="8"/>
      <name val="Helvetica"/>
      <family val="2"/>
    </font>
    <font>
      <sz val="10"/>
      <color indexed="8"/>
      <name val="Helvetica"/>
      <family val="2"/>
    </font>
    <font>
      <b/>
      <sz val="10"/>
      <color indexed="8"/>
      <name val="Helvetica"/>
      <family val="2"/>
    </font>
    <font>
      <sz val="12"/>
      <color indexed="8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4" fontId="3" fillId="0" borderId="0" applyFont="0" applyFill="0" applyBorder="0" applyAlignment="0" applyProtection="0"/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49" fontId="2" fillId="3" borderId="5" xfId="0" applyNumberFormat="1" applyFont="1" applyFill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44" fontId="2" fillId="2" borderId="1" xfId="1" applyFont="1" applyFill="1" applyBorder="1" applyAlignment="1">
      <alignment vertical="top" wrapText="1"/>
    </xf>
    <xf numFmtId="44" fontId="0" fillId="0" borderId="3" xfId="1" applyFont="1" applyBorder="1" applyAlignment="1">
      <alignment vertical="top" wrapText="1"/>
    </xf>
    <xf numFmtId="44" fontId="0" fillId="0" borderId="4" xfId="1" applyFont="1" applyBorder="1" applyAlignment="1">
      <alignment vertical="top" wrapText="1"/>
    </xf>
    <xf numFmtId="44" fontId="0" fillId="0" borderId="6" xfId="1" applyFont="1" applyBorder="1" applyAlignment="1">
      <alignment vertical="top" wrapText="1"/>
    </xf>
    <xf numFmtId="44" fontId="0" fillId="0" borderId="7" xfId="1" applyFont="1" applyBorder="1" applyAlignment="1">
      <alignment vertical="top" wrapText="1"/>
    </xf>
    <xf numFmtId="44" fontId="4" fillId="0" borderId="7" xfId="1" applyFont="1" applyBorder="1" applyAlignment="1">
      <alignment vertical="top" wrapText="1"/>
    </xf>
    <xf numFmtId="44" fontId="0" fillId="0" borderId="0" xfId="1" applyFont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3"/>
  <sheetViews>
    <sheetView showGridLines="0" tabSelected="1" workbookViewId="0">
      <pane xSplit="1" ySplit="2" topLeftCell="B17" activePane="bottomRight" state="frozen"/>
      <selection pane="topRight"/>
      <selection pane="bottomLeft"/>
      <selection pane="bottomRight" activeCell="B19" sqref="B19"/>
    </sheetView>
  </sheetViews>
  <sheetFormatPr defaultColWidth="16.28515625" defaultRowHeight="18" customHeight="1" x14ac:dyDescent="0.2"/>
  <cols>
    <col min="1" max="1" width="30.7109375" style="1" customWidth="1"/>
    <col min="2" max="3" width="16.28515625" style="14" customWidth="1"/>
    <col min="4" max="256" width="16.28515625" style="1" customWidth="1"/>
  </cols>
  <sheetData>
    <row r="1" spans="1:7" ht="15" customHeight="1" x14ac:dyDescent="0.2">
      <c r="A1" s="16" t="s">
        <v>40</v>
      </c>
      <c r="B1" s="17"/>
      <c r="C1" s="17"/>
      <c r="D1" s="17"/>
      <c r="E1" s="17"/>
      <c r="F1" s="17"/>
      <c r="G1" s="17"/>
    </row>
    <row r="2" spans="1:7" ht="15" customHeight="1" x14ac:dyDescent="0.2">
      <c r="A2" s="2"/>
      <c r="B2" s="8" t="s">
        <v>0</v>
      </c>
      <c r="C2" s="8" t="s">
        <v>1</v>
      </c>
      <c r="D2" s="2"/>
      <c r="E2" s="2"/>
      <c r="F2" s="2"/>
      <c r="G2" s="2"/>
    </row>
    <row r="3" spans="1:7" ht="15" customHeight="1" x14ac:dyDescent="0.2">
      <c r="A3" s="3" t="s">
        <v>2</v>
      </c>
      <c r="B3" s="9"/>
      <c r="C3" s="10"/>
      <c r="D3" s="4"/>
      <c r="E3" s="4"/>
      <c r="F3" s="4"/>
      <c r="G3" s="4"/>
    </row>
    <row r="4" spans="1:7" ht="15" customHeight="1" x14ac:dyDescent="0.2">
      <c r="A4" s="5" t="s">
        <v>3</v>
      </c>
      <c r="B4" s="11"/>
      <c r="C4" s="12"/>
      <c r="D4" s="6"/>
      <c r="E4" s="6"/>
      <c r="F4" s="6"/>
      <c r="G4" s="6"/>
    </row>
    <row r="5" spans="1:7" ht="15" customHeight="1" x14ac:dyDescent="0.2">
      <c r="A5" s="5" t="s">
        <v>4</v>
      </c>
      <c r="B5" s="11">
        <v>2881.77</v>
      </c>
      <c r="C5" s="12">
        <v>52980</v>
      </c>
      <c r="D5" s="6"/>
      <c r="E5" s="6"/>
      <c r="F5" s="6"/>
      <c r="G5" s="6"/>
    </row>
    <row r="6" spans="1:7" ht="15" customHeight="1" x14ac:dyDescent="0.2">
      <c r="A6" s="5" t="s">
        <v>5</v>
      </c>
      <c r="B6" s="11">
        <v>3131.27</v>
      </c>
      <c r="C6" s="12">
        <v>15600</v>
      </c>
      <c r="D6" s="6"/>
      <c r="E6" s="6"/>
      <c r="F6" s="6"/>
      <c r="G6" s="6"/>
    </row>
    <row r="7" spans="1:7" ht="15" customHeight="1" x14ac:dyDescent="0.2">
      <c r="A7" s="5" t="s">
        <v>6</v>
      </c>
      <c r="B7" s="11"/>
      <c r="C7" s="12"/>
      <c r="D7" s="6"/>
      <c r="E7" s="6"/>
      <c r="F7" s="6"/>
      <c r="G7" s="6"/>
    </row>
    <row r="8" spans="1:7" ht="15" customHeight="1" x14ac:dyDescent="0.2">
      <c r="A8" s="5" t="s">
        <v>7</v>
      </c>
      <c r="B8" s="11"/>
      <c r="C8" s="12">
        <v>3.5</v>
      </c>
      <c r="D8" s="6"/>
      <c r="E8" s="6"/>
      <c r="F8" s="6"/>
      <c r="G8" s="6"/>
    </row>
    <row r="9" spans="1:7" ht="15" customHeight="1" x14ac:dyDescent="0.2">
      <c r="A9" s="5" t="s">
        <v>8</v>
      </c>
      <c r="B9" s="12">
        <f>SUM(B4:B8)</f>
        <v>6013.04</v>
      </c>
      <c r="C9" s="12">
        <f>SUM(C4:C8)</f>
        <v>68583.5</v>
      </c>
      <c r="D9" s="6"/>
      <c r="E9" s="6"/>
      <c r="F9" s="6"/>
      <c r="G9" s="6"/>
    </row>
    <row r="10" spans="1:7" ht="15" customHeight="1" x14ac:dyDescent="0.2">
      <c r="A10" s="5" t="s">
        <v>9</v>
      </c>
      <c r="B10" s="11"/>
      <c r="C10" s="12"/>
      <c r="D10" s="6"/>
      <c r="E10" s="6"/>
      <c r="F10" s="6"/>
      <c r="G10" s="6"/>
    </row>
    <row r="11" spans="1:7" ht="15" customHeight="1" x14ac:dyDescent="0.2">
      <c r="A11" s="5" t="s">
        <v>10</v>
      </c>
      <c r="B11" s="11"/>
      <c r="C11" s="12">
        <f>SUM(B11)</f>
        <v>0</v>
      </c>
      <c r="D11" s="6"/>
      <c r="E11" s="6"/>
      <c r="F11" s="6"/>
      <c r="G11" s="6"/>
    </row>
    <row r="12" spans="1:7" ht="15" customHeight="1" x14ac:dyDescent="0.2">
      <c r="A12" s="5" t="s">
        <v>11</v>
      </c>
      <c r="B12" s="11"/>
      <c r="C12" s="12">
        <f>SUM(B12)</f>
        <v>0</v>
      </c>
      <c r="D12" s="6"/>
      <c r="E12" s="6"/>
      <c r="F12" s="6"/>
      <c r="G12" s="6"/>
    </row>
    <row r="13" spans="1:7" ht="15" customHeight="1" x14ac:dyDescent="0.2">
      <c r="A13" s="5" t="s">
        <v>12</v>
      </c>
      <c r="B13" s="11"/>
      <c r="C13" s="12">
        <f>SUM(B13)</f>
        <v>0</v>
      </c>
      <c r="D13" s="6"/>
      <c r="E13" s="6"/>
      <c r="F13" s="6"/>
      <c r="G13" s="6"/>
    </row>
    <row r="14" spans="1:7" ht="15" customHeight="1" x14ac:dyDescent="0.2">
      <c r="A14" s="5" t="s">
        <v>13</v>
      </c>
      <c r="B14" s="11"/>
      <c r="C14" s="12">
        <f>SUM(C10:C13)</f>
        <v>0</v>
      </c>
      <c r="D14" s="6"/>
      <c r="E14" s="6"/>
      <c r="F14" s="6"/>
      <c r="G14" s="6"/>
    </row>
    <row r="15" spans="1:7" ht="15" customHeight="1" x14ac:dyDescent="0.2">
      <c r="A15" s="5" t="s">
        <v>14</v>
      </c>
      <c r="B15" s="13">
        <f>SUM(B8:B14)</f>
        <v>6013.04</v>
      </c>
      <c r="C15" s="13">
        <f>SUM(C8:C14)</f>
        <v>68587</v>
      </c>
      <c r="D15" s="6"/>
      <c r="E15" s="6"/>
      <c r="F15" s="6"/>
      <c r="G15" s="6"/>
    </row>
    <row r="16" spans="1:7" ht="15" customHeight="1" x14ac:dyDescent="0.2">
      <c r="A16" s="7"/>
      <c r="B16" s="11"/>
      <c r="C16" s="12"/>
      <c r="D16" s="6"/>
      <c r="E16" s="6"/>
      <c r="F16" s="6"/>
      <c r="G16" s="6"/>
    </row>
    <row r="17" spans="1:7" ht="15" customHeight="1" x14ac:dyDescent="0.2">
      <c r="A17" s="7"/>
      <c r="B17" s="11"/>
      <c r="C17" s="12"/>
      <c r="D17" s="6"/>
      <c r="E17" s="6"/>
      <c r="F17" s="6"/>
      <c r="G17" s="6"/>
    </row>
    <row r="18" spans="1:7" ht="15" customHeight="1" x14ac:dyDescent="0.2">
      <c r="A18" s="15" t="s">
        <v>42</v>
      </c>
      <c r="B18" s="11"/>
      <c r="C18" s="12"/>
      <c r="D18" s="6"/>
      <c r="E18" s="6"/>
      <c r="F18" s="6"/>
      <c r="G18" s="6"/>
    </row>
    <row r="19" spans="1:7" ht="15" customHeight="1" x14ac:dyDescent="0.2">
      <c r="A19" s="5" t="s">
        <v>15</v>
      </c>
      <c r="B19" s="11"/>
      <c r="C19" s="12"/>
      <c r="D19" s="6"/>
      <c r="E19" s="6"/>
      <c r="F19" s="6"/>
      <c r="G19" s="6"/>
    </row>
    <row r="20" spans="1:7" ht="15" customHeight="1" x14ac:dyDescent="0.2">
      <c r="A20" s="5" t="s">
        <v>16</v>
      </c>
      <c r="B20" s="11">
        <v>251.75</v>
      </c>
      <c r="C20" s="12">
        <v>1007</v>
      </c>
      <c r="D20" s="6"/>
      <c r="E20" s="6"/>
      <c r="F20" s="6"/>
      <c r="G20" s="6"/>
    </row>
    <row r="21" spans="1:7" ht="15" customHeight="1" x14ac:dyDescent="0.2">
      <c r="A21" s="5" t="s">
        <v>17</v>
      </c>
      <c r="B21" s="11"/>
      <c r="C21" s="12">
        <v>700</v>
      </c>
      <c r="D21" s="6"/>
      <c r="E21" s="6"/>
      <c r="F21" s="6"/>
      <c r="G21" s="6"/>
    </row>
    <row r="22" spans="1:7" ht="15" customHeight="1" x14ac:dyDescent="0.2">
      <c r="A22" s="5" t="s">
        <v>18</v>
      </c>
      <c r="B22" s="11"/>
      <c r="C22" s="12">
        <v>400</v>
      </c>
      <c r="D22" s="6"/>
      <c r="E22" s="6"/>
      <c r="F22" s="6"/>
      <c r="G22" s="6"/>
    </row>
    <row r="23" spans="1:7" ht="15" customHeight="1" x14ac:dyDescent="0.2">
      <c r="A23" s="5" t="s">
        <v>19</v>
      </c>
      <c r="B23" s="11"/>
      <c r="C23" s="12">
        <v>600</v>
      </c>
      <c r="D23" s="6"/>
      <c r="E23" s="6"/>
      <c r="F23" s="6"/>
      <c r="G23" s="6"/>
    </row>
    <row r="24" spans="1:7" ht="15" customHeight="1" x14ac:dyDescent="0.2">
      <c r="A24" s="5" t="s">
        <v>20</v>
      </c>
      <c r="B24" s="11"/>
      <c r="C24" s="12">
        <v>500</v>
      </c>
      <c r="D24" s="6"/>
      <c r="E24" s="6"/>
      <c r="F24" s="6"/>
      <c r="G24" s="6"/>
    </row>
    <row r="25" spans="1:7" ht="15" customHeight="1" x14ac:dyDescent="0.2">
      <c r="A25" s="5" t="s">
        <v>21</v>
      </c>
      <c r="B25" s="11"/>
      <c r="C25" s="12"/>
      <c r="D25" s="6"/>
      <c r="E25" s="6"/>
      <c r="F25" s="6"/>
      <c r="G25" s="6"/>
    </row>
    <row r="26" spans="1:7" ht="15" customHeight="1" x14ac:dyDescent="0.2">
      <c r="A26" s="5" t="s">
        <v>22</v>
      </c>
      <c r="B26" s="11"/>
      <c r="C26" s="12">
        <v>80</v>
      </c>
      <c r="D26" s="6"/>
      <c r="E26" s="6"/>
      <c r="F26" s="6"/>
      <c r="G26" s="6"/>
    </row>
    <row r="27" spans="1:7" ht="15" customHeight="1" x14ac:dyDescent="0.2">
      <c r="A27" s="5" t="s">
        <v>23</v>
      </c>
      <c r="B27" s="11">
        <v>536</v>
      </c>
      <c r="C27" s="12">
        <v>700</v>
      </c>
      <c r="D27" s="6"/>
      <c r="E27" s="6"/>
      <c r="F27" s="6"/>
      <c r="G27" s="6"/>
    </row>
    <row r="28" spans="1:7" ht="15" customHeight="1" x14ac:dyDescent="0.2">
      <c r="A28" s="5" t="s">
        <v>24</v>
      </c>
      <c r="B28" s="11"/>
      <c r="C28" s="12">
        <v>6000</v>
      </c>
      <c r="D28" s="6"/>
      <c r="E28" s="6"/>
      <c r="F28" s="6"/>
      <c r="G28" s="6"/>
    </row>
    <row r="29" spans="1:7" ht="15" customHeight="1" x14ac:dyDescent="0.2">
      <c r="A29" s="5" t="s">
        <v>25</v>
      </c>
      <c r="B29" s="11"/>
      <c r="C29" s="12">
        <v>500</v>
      </c>
      <c r="D29" s="6"/>
      <c r="E29" s="6"/>
      <c r="F29" s="6"/>
      <c r="G29" s="6"/>
    </row>
    <row r="30" spans="1:7" ht="15" customHeight="1" x14ac:dyDescent="0.2">
      <c r="A30" s="5" t="s">
        <v>26</v>
      </c>
      <c r="B30" s="11">
        <v>487.5</v>
      </c>
      <c r="C30" s="12">
        <v>18000</v>
      </c>
      <c r="D30" s="6"/>
      <c r="E30" s="6"/>
      <c r="F30" s="6"/>
      <c r="G30" s="6"/>
    </row>
    <row r="31" spans="1:7" ht="15" customHeight="1" x14ac:dyDescent="0.2">
      <c r="A31" s="5" t="s">
        <v>27</v>
      </c>
      <c r="B31" s="11"/>
      <c r="C31" s="12">
        <v>2300</v>
      </c>
      <c r="D31" s="6"/>
      <c r="E31" s="6"/>
      <c r="F31" s="6"/>
      <c r="G31" s="6"/>
    </row>
    <row r="32" spans="1:7" ht="15" customHeight="1" x14ac:dyDescent="0.2">
      <c r="A32" s="5" t="s">
        <v>6</v>
      </c>
      <c r="B32" s="11">
        <v>120.72</v>
      </c>
      <c r="C32" s="12">
        <v>300</v>
      </c>
      <c r="D32" s="6"/>
      <c r="E32" s="6"/>
      <c r="F32" s="6"/>
      <c r="G32" s="6"/>
    </row>
    <row r="33" spans="1:7" ht="15" customHeight="1" x14ac:dyDescent="0.2">
      <c r="A33" s="5"/>
      <c r="B33" s="11"/>
      <c r="C33" s="12"/>
      <c r="D33" s="6"/>
      <c r="E33" s="6"/>
      <c r="F33" s="6"/>
      <c r="G33" s="6"/>
    </row>
    <row r="34" spans="1:7" ht="15" customHeight="1" x14ac:dyDescent="0.2">
      <c r="A34" s="5" t="s">
        <v>28</v>
      </c>
      <c r="B34" s="13">
        <f>SUM(B20:B33)</f>
        <v>1395.97</v>
      </c>
      <c r="C34" s="13">
        <f>SUM(C20:C33)</f>
        <v>31087</v>
      </c>
      <c r="D34" s="6"/>
      <c r="E34" s="6"/>
      <c r="F34" s="6"/>
      <c r="G34" s="6"/>
    </row>
    <row r="35" spans="1:7" ht="15" customHeight="1" x14ac:dyDescent="0.2">
      <c r="A35" s="5"/>
      <c r="B35" s="11"/>
      <c r="C35" s="12"/>
      <c r="D35" s="6"/>
      <c r="E35" s="6"/>
      <c r="F35" s="6"/>
      <c r="G35" s="6"/>
    </row>
    <row r="36" spans="1:7" ht="15" customHeight="1" x14ac:dyDescent="0.2">
      <c r="A36" s="5"/>
      <c r="B36" s="11"/>
      <c r="C36" s="12"/>
      <c r="D36" s="6"/>
      <c r="E36" s="6"/>
      <c r="F36" s="6"/>
      <c r="G36" s="6"/>
    </row>
    <row r="37" spans="1:7" ht="15" customHeight="1" x14ac:dyDescent="0.2">
      <c r="A37" s="5" t="s">
        <v>29</v>
      </c>
      <c r="B37" s="11"/>
      <c r="C37" s="12"/>
      <c r="D37" s="6"/>
      <c r="E37" s="6"/>
      <c r="F37" s="6"/>
      <c r="G37" s="6"/>
    </row>
    <row r="38" spans="1:7" ht="15" customHeight="1" x14ac:dyDescent="0.2">
      <c r="A38" s="5" t="s">
        <v>26</v>
      </c>
      <c r="B38" s="11"/>
      <c r="C38" s="12">
        <v>4000</v>
      </c>
      <c r="D38" s="6"/>
      <c r="E38" s="6"/>
      <c r="F38" s="6"/>
      <c r="G38" s="6"/>
    </row>
    <row r="39" spans="1:7" ht="15" customHeight="1" x14ac:dyDescent="0.2">
      <c r="A39" s="5" t="s">
        <v>30</v>
      </c>
      <c r="B39" s="11"/>
      <c r="C39" s="12"/>
      <c r="D39" s="6"/>
      <c r="E39" s="6"/>
      <c r="F39" s="6"/>
      <c r="G39" s="6"/>
    </row>
    <row r="40" spans="1:7" ht="15" customHeight="1" x14ac:dyDescent="0.2">
      <c r="A40" s="5" t="s">
        <v>31</v>
      </c>
      <c r="B40" s="13">
        <f>SUM(B38:B39)</f>
        <v>0</v>
      </c>
      <c r="C40" s="13">
        <f>SUM(C38:C39)</f>
        <v>4000</v>
      </c>
      <c r="D40" s="6"/>
      <c r="E40" s="6"/>
      <c r="F40" s="6"/>
      <c r="G40" s="6"/>
    </row>
    <row r="41" spans="1:7" ht="15" customHeight="1" x14ac:dyDescent="0.2">
      <c r="A41" s="5"/>
      <c r="B41" s="11"/>
      <c r="C41" s="12"/>
      <c r="D41" s="6"/>
      <c r="E41" s="6"/>
      <c r="F41" s="6"/>
      <c r="G41" s="6"/>
    </row>
    <row r="42" spans="1:7" ht="15" customHeight="1" x14ac:dyDescent="0.2">
      <c r="A42" s="5" t="s">
        <v>32</v>
      </c>
      <c r="B42" s="11"/>
      <c r="C42" s="12"/>
      <c r="D42" s="6"/>
      <c r="E42" s="6"/>
      <c r="F42" s="6"/>
      <c r="G42" s="6"/>
    </row>
    <row r="43" spans="1:7" ht="15" customHeight="1" x14ac:dyDescent="0.2">
      <c r="A43" s="5" t="s">
        <v>33</v>
      </c>
      <c r="B43" s="11"/>
      <c r="C43" s="12">
        <v>25800</v>
      </c>
      <c r="D43" s="6"/>
      <c r="E43" s="6"/>
      <c r="F43" s="6"/>
      <c r="G43" s="6"/>
    </row>
    <row r="44" spans="1:7" ht="15" customHeight="1" x14ac:dyDescent="0.2">
      <c r="A44" s="5" t="s">
        <v>34</v>
      </c>
      <c r="B44" s="11"/>
      <c r="C44" s="12">
        <v>3000</v>
      </c>
      <c r="D44" s="6"/>
      <c r="E44" s="6"/>
      <c r="F44" s="6"/>
      <c r="G44" s="6"/>
    </row>
    <row r="45" spans="1:7" ht="15" customHeight="1" x14ac:dyDescent="0.2">
      <c r="A45" s="5" t="s">
        <v>35</v>
      </c>
      <c r="B45" s="11"/>
      <c r="C45" s="12">
        <v>1200</v>
      </c>
      <c r="D45" s="6"/>
      <c r="E45" s="6"/>
      <c r="F45" s="6"/>
      <c r="G45" s="6"/>
    </row>
    <row r="46" spans="1:7" ht="15" customHeight="1" x14ac:dyDescent="0.2">
      <c r="A46" s="5" t="s">
        <v>30</v>
      </c>
      <c r="B46" s="11"/>
      <c r="C46" s="12"/>
      <c r="D46" s="6"/>
      <c r="E46" s="6"/>
      <c r="F46" s="6"/>
      <c r="G46" s="6"/>
    </row>
    <row r="47" spans="1:7" ht="15" customHeight="1" x14ac:dyDescent="0.2">
      <c r="A47" s="5"/>
      <c r="B47" s="11"/>
      <c r="C47" s="12"/>
      <c r="D47" s="6"/>
      <c r="E47" s="6"/>
      <c r="F47" s="6"/>
      <c r="G47" s="6"/>
    </row>
    <row r="48" spans="1:7" ht="15" customHeight="1" x14ac:dyDescent="0.2">
      <c r="A48" s="7"/>
      <c r="B48" s="11"/>
      <c r="C48" s="12"/>
      <c r="D48" s="6"/>
      <c r="E48" s="6"/>
      <c r="F48" s="6"/>
      <c r="G48" s="6"/>
    </row>
    <row r="49" spans="1:7" ht="15" customHeight="1" x14ac:dyDescent="0.2">
      <c r="A49" s="5" t="s">
        <v>36</v>
      </c>
      <c r="B49" s="13">
        <f>SUM(B43:B48)</f>
        <v>0</v>
      </c>
      <c r="C49" s="13">
        <f>SUM(C43:C48)</f>
        <v>30000</v>
      </c>
      <c r="D49" s="6"/>
      <c r="E49" s="6"/>
      <c r="F49" s="6"/>
      <c r="G49" s="6"/>
    </row>
    <row r="50" spans="1:7" ht="15" customHeight="1" x14ac:dyDescent="0.2">
      <c r="A50" s="5"/>
      <c r="B50" s="11"/>
      <c r="C50" s="12"/>
      <c r="D50" s="6"/>
      <c r="E50" s="6"/>
      <c r="F50" s="6"/>
      <c r="G50" s="6"/>
    </row>
    <row r="51" spans="1:7" ht="15" customHeight="1" x14ac:dyDescent="0.2">
      <c r="A51" s="5"/>
      <c r="B51" s="11"/>
      <c r="C51" s="12"/>
      <c r="D51" s="6"/>
      <c r="E51" s="6"/>
      <c r="F51" s="6"/>
      <c r="G51" s="6"/>
    </row>
    <row r="52" spans="1:7" ht="15" customHeight="1" x14ac:dyDescent="0.2">
      <c r="A52" s="5" t="s">
        <v>37</v>
      </c>
      <c r="B52" s="11"/>
      <c r="C52" s="12"/>
      <c r="D52" s="6"/>
      <c r="E52" s="6"/>
      <c r="F52" s="6"/>
      <c r="G52" s="6"/>
    </row>
    <row r="53" spans="1:7" ht="15" customHeight="1" x14ac:dyDescent="0.2">
      <c r="A53" s="5"/>
      <c r="B53" s="11"/>
      <c r="C53" s="12">
        <f>SUM(B53)</f>
        <v>0</v>
      </c>
      <c r="D53" s="6"/>
      <c r="E53" s="6"/>
      <c r="F53" s="6"/>
      <c r="G53" s="6"/>
    </row>
    <row r="54" spans="1:7" ht="15" customHeight="1" x14ac:dyDescent="0.2">
      <c r="A54" s="5"/>
      <c r="B54" s="11"/>
      <c r="C54" s="12">
        <f>SUM(B54)</f>
        <v>0</v>
      </c>
      <c r="D54" s="6"/>
      <c r="E54" s="6"/>
      <c r="F54" s="6"/>
      <c r="G54" s="6"/>
    </row>
    <row r="55" spans="1:7" ht="15" customHeight="1" x14ac:dyDescent="0.2">
      <c r="A55" s="5"/>
      <c r="B55" s="11"/>
      <c r="C55" s="12">
        <f>SUM(B55)</f>
        <v>0</v>
      </c>
      <c r="D55" s="6"/>
      <c r="E55" s="6"/>
      <c r="F55" s="6"/>
      <c r="G55" s="6"/>
    </row>
    <row r="56" spans="1:7" ht="15" customHeight="1" x14ac:dyDescent="0.2">
      <c r="A56" s="5"/>
      <c r="B56" s="11"/>
      <c r="C56" s="12">
        <f>SUM(B56)</f>
        <v>0</v>
      </c>
      <c r="D56" s="6"/>
      <c r="E56" s="6"/>
      <c r="F56" s="6"/>
      <c r="G56" s="6"/>
    </row>
    <row r="57" spans="1:7" ht="15" customHeight="1" x14ac:dyDescent="0.2">
      <c r="A57" s="5" t="s">
        <v>38</v>
      </c>
      <c r="B57" s="13">
        <f>SUM(B53:B56)</f>
        <v>0</v>
      </c>
      <c r="C57" s="13">
        <f>SUM(C53:C56)</f>
        <v>0</v>
      </c>
      <c r="D57" s="6"/>
      <c r="E57" s="6"/>
      <c r="F57" s="6"/>
      <c r="G57" s="6"/>
    </row>
    <row r="58" spans="1:7" ht="15" customHeight="1" x14ac:dyDescent="0.2">
      <c r="A58" s="5"/>
      <c r="B58" s="11"/>
      <c r="C58" s="12"/>
      <c r="D58" s="6"/>
      <c r="E58" s="6"/>
      <c r="F58" s="6"/>
      <c r="G58" s="6"/>
    </row>
    <row r="59" spans="1:7" ht="15" customHeight="1" x14ac:dyDescent="0.2">
      <c r="A59" s="5"/>
      <c r="B59" s="11"/>
      <c r="C59" s="12"/>
      <c r="D59" s="6"/>
      <c r="E59" s="6"/>
      <c r="F59" s="6"/>
      <c r="G59" s="6"/>
    </row>
    <row r="60" spans="1:7" ht="15" customHeight="1" x14ac:dyDescent="0.2">
      <c r="A60" s="5" t="s">
        <v>39</v>
      </c>
      <c r="B60" s="13">
        <f>B34+B40+B49+B57</f>
        <v>1395.97</v>
      </c>
      <c r="C60" s="13">
        <f>C34+C40+C49+C57</f>
        <v>65087</v>
      </c>
      <c r="D60" s="6"/>
      <c r="E60" s="6"/>
      <c r="F60" s="6"/>
      <c r="G60" s="6"/>
    </row>
    <row r="61" spans="1:7" ht="15" customHeight="1" x14ac:dyDescent="0.2">
      <c r="A61" s="5"/>
      <c r="B61" s="11"/>
      <c r="C61" s="12"/>
      <c r="D61" s="6"/>
      <c r="E61" s="6"/>
      <c r="F61" s="6"/>
      <c r="G61" s="6"/>
    </row>
    <row r="62" spans="1:7" ht="15" customHeight="1" x14ac:dyDescent="0.2">
      <c r="A62" s="5"/>
      <c r="B62" s="11"/>
      <c r="C62" s="12"/>
      <c r="D62" s="6"/>
      <c r="E62" s="6"/>
      <c r="F62" s="6"/>
      <c r="G62" s="6"/>
    </row>
    <row r="63" spans="1:7" ht="15" customHeight="1" x14ac:dyDescent="0.2">
      <c r="A63" s="15" t="s">
        <v>41</v>
      </c>
      <c r="B63" s="13">
        <f>B15-B60</f>
        <v>4617.07</v>
      </c>
      <c r="C63" s="13">
        <f>C15-C60</f>
        <v>3500</v>
      </c>
      <c r="D63" s="6"/>
      <c r="E63" s="6"/>
      <c r="F63" s="6"/>
      <c r="G63" s="6"/>
    </row>
  </sheetData>
  <mergeCells count="1">
    <mergeCell ref="A1:G1"/>
  </mergeCells>
  <pageMargins left="0.25" right="0.25" top="0.75" bottom="0.75" header="0.3" footer="0.3"/>
  <pageSetup scale="74" orientation="portrait" horizontalDpi="4294967293" verticalDpi="4294967293" r:id="rId1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</dc:creator>
  <cp:lastModifiedBy>Duke</cp:lastModifiedBy>
  <cp:lastPrinted>2017-01-01T02:05:38Z</cp:lastPrinted>
  <dcterms:created xsi:type="dcterms:W3CDTF">2016-12-03T23:37:14Z</dcterms:created>
  <dcterms:modified xsi:type="dcterms:W3CDTF">2017-01-01T02:05:56Z</dcterms:modified>
</cp:coreProperties>
</file>